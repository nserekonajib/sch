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jib\Desktop\school SAAS\"/>
    </mc:Choice>
  </mc:AlternateContent>
  <xr:revisionPtr revIDLastSave="0" documentId="8_{07AFFB91-D3EC-47C6-A0EC-C140E41488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d Students" sheetId="1" r:id="rId1"/>
    <sheet name="Summary" sheetId="2" r:id="rId2"/>
    <sheet name="Status Breakdown" sheetId="3" r:id="rId3"/>
    <sheet name="Category Breakdown" sheetId="4" r:id="rId4"/>
  </sheets>
  <definedNames>
    <definedName name="_xlnm._FilterDatabase" localSheetId="0" hidden="1">'Invoiced Students'!$A$1:$F$88</definedName>
  </definedNames>
  <calcPr calcId="181029"/>
</workbook>
</file>

<file path=xl/calcChain.xml><?xml version="1.0" encoding="utf-8"?>
<calcChain xmlns="http://schemas.openxmlformats.org/spreadsheetml/2006/main">
  <c r="F4" i="1" l="1"/>
  <c r="E8" i="1"/>
  <c r="E11" i="1"/>
  <c r="E22" i="1"/>
  <c r="E25" i="1"/>
  <c r="E28" i="1"/>
  <c r="E29" i="1"/>
  <c r="E33" i="1"/>
  <c r="E34" i="1"/>
  <c r="E38" i="1"/>
  <c r="E43" i="1"/>
  <c r="E45" i="1"/>
  <c r="E65" i="1"/>
  <c r="E68" i="1"/>
  <c r="E69" i="1"/>
  <c r="E72" i="1"/>
  <c r="F2" i="1"/>
  <c r="E2" i="1" s="1"/>
  <c r="E87" i="1"/>
  <c r="E86" i="1"/>
  <c r="E85" i="1"/>
  <c r="E84" i="1"/>
  <c r="E83" i="1"/>
  <c r="E80" i="1"/>
  <c r="E79" i="1"/>
  <c r="F3" i="1"/>
  <c r="F5" i="1"/>
  <c r="E5" i="1" s="1"/>
  <c r="F6" i="1"/>
  <c r="E6" i="1" s="1"/>
  <c r="F7" i="1"/>
  <c r="E7" i="1" s="1"/>
  <c r="F9" i="1"/>
  <c r="E9" i="1" s="1"/>
  <c r="F10" i="1"/>
  <c r="E10" i="1" s="1"/>
  <c r="F12" i="1"/>
  <c r="E12" i="1" s="1"/>
  <c r="F13" i="1"/>
  <c r="E13" i="1" s="1"/>
  <c r="F14" i="1"/>
  <c r="E14" i="1" s="1"/>
  <c r="F15" i="1"/>
  <c r="E15" i="1" s="1"/>
  <c r="F16" i="1"/>
  <c r="E16" i="1" s="1"/>
  <c r="F17" i="1"/>
  <c r="E17" i="1" s="1"/>
  <c r="F18" i="1"/>
  <c r="E18" i="1" s="1"/>
  <c r="F19" i="1"/>
  <c r="E19" i="1" s="1"/>
  <c r="F20" i="1"/>
  <c r="E20" i="1" s="1"/>
  <c r="F21" i="1"/>
  <c r="E21" i="1" s="1"/>
  <c r="F23" i="1"/>
  <c r="E23" i="1" s="1"/>
  <c r="F24" i="1"/>
  <c r="E24" i="1" s="1"/>
  <c r="F26" i="1"/>
  <c r="E26" i="1" s="1"/>
  <c r="F27" i="1"/>
  <c r="E27" i="1" s="1"/>
  <c r="F30" i="1"/>
  <c r="E30" i="1" s="1"/>
  <c r="F31" i="1"/>
  <c r="E31" i="1" s="1"/>
  <c r="F32" i="1"/>
  <c r="E32" i="1" s="1"/>
  <c r="F35" i="1"/>
  <c r="E35" i="1" s="1"/>
  <c r="F36" i="1"/>
  <c r="E36" i="1" s="1"/>
  <c r="F37" i="1"/>
  <c r="E37" i="1" s="1"/>
  <c r="F39" i="1"/>
  <c r="E39" i="1" s="1"/>
  <c r="F40" i="1"/>
  <c r="E40" i="1" s="1"/>
  <c r="F41" i="1"/>
  <c r="E41" i="1" s="1"/>
  <c r="F42" i="1"/>
  <c r="E42" i="1" s="1"/>
  <c r="F44" i="1"/>
  <c r="E44" i="1" s="1"/>
  <c r="F46" i="1"/>
  <c r="E46" i="1" s="1"/>
  <c r="F47" i="1"/>
  <c r="E47" i="1" s="1"/>
  <c r="F48" i="1"/>
  <c r="E48" i="1" s="1"/>
  <c r="F49" i="1"/>
  <c r="E49" i="1" s="1"/>
  <c r="F50" i="1"/>
  <c r="E50" i="1" s="1"/>
  <c r="F51" i="1"/>
  <c r="E51" i="1" s="1"/>
  <c r="F52" i="1"/>
  <c r="E52" i="1" s="1"/>
  <c r="F53" i="1"/>
  <c r="E53" i="1" s="1"/>
  <c r="E54" i="1"/>
  <c r="E55" i="1"/>
  <c r="F56" i="1"/>
  <c r="E56" i="1" s="1"/>
  <c r="E57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 s="1"/>
  <c r="F66" i="1"/>
  <c r="E66" i="1" s="1"/>
  <c r="F67" i="1"/>
  <c r="E67" i="1" s="1"/>
  <c r="F70" i="1"/>
  <c r="E70" i="1" s="1"/>
  <c r="F71" i="1"/>
  <c r="E71" i="1" s="1"/>
  <c r="F73" i="1"/>
  <c r="E73" i="1" s="1"/>
  <c r="F74" i="1"/>
  <c r="E74" i="1" s="1"/>
  <c r="F75" i="1"/>
  <c r="E75" i="1" s="1"/>
  <c r="F76" i="1"/>
  <c r="E76" i="1" s="1"/>
  <c r="F77" i="1"/>
  <c r="E77" i="1" s="1"/>
  <c r="F78" i="1"/>
  <c r="E78" i="1" s="1"/>
  <c r="F81" i="1"/>
  <c r="E81" i="1" s="1"/>
  <c r="F82" i="1"/>
  <c r="E82" i="1" s="1"/>
  <c r="F88" i="1"/>
  <c r="E88" i="1" s="1"/>
</calcChain>
</file>

<file path=xl/sharedStrings.xml><?xml version="1.0" encoding="utf-8"?>
<sst xmlns="http://schemas.openxmlformats.org/spreadsheetml/2006/main" count="300" uniqueCount="214">
  <si>
    <t>Student Name</t>
  </si>
  <si>
    <t>Student ID</t>
  </si>
  <si>
    <t>Class</t>
  </si>
  <si>
    <t>Category</t>
  </si>
  <si>
    <t>Status</t>
  </si>
  <si>
    <t>Total Amount (UGX)</t>
  </si>
  <si>
    <t>Paid Amount (UGX)</t>
  </si>
  <si>
    <t>Balance (UGX)</t>
  </si>
  <si>
    <t>Shifa Abdullah</t>
  </si>
  <si>
    <t>NUR202606-P4PR-001</t>
  </si>
  <si>
    <t>BABY CLASS</t>
  </si>
  <si>
    <t>Boarding</t>
  </si>
  <si>
    <t>Pending</t>
  </si>
  <si>
    <t>SIRIKYE DAVID CHARLESE</t>
  </si>
  <si>
    <t>PRI202606-58YZ-100</t>
  </si>
  <si>
    <t>PRIMARY 7</t>
  </si>
  <si>
    <t>Day</t>
  </si>
  <si>
    <t>GASIRA ASHIMU</t>
  </si>
  <si>
    <t>PRI202606-EP8N-102</t>
  </si>
  <si>
    <t>ABDUL FATAH ABDALLAHI OMAR</t>
  </si>
  <si>
    <t>PRI202606-HYYJ-093</t>
  </si>
  <si>
    <t>PRIMARY SIX</t>
  </si>
  <si>
    <t>QASSIM MASABA</t>
  </si>
  <si>
    <t>PRI202606-RY04-094</t>
  </si>
  <si>
    <t>BALIGEYA HASHIM</t>
  </si>
  <si>
    <t>PRI202606-G92W-095</t>
  </si>
  <si>
    <t>HAFTHAM YUNUS</t>
  </si>
  <si>
    <t>PRI202606-UQ4W-096</t>
  </si>
  <si>
    <t>HANISHA SKALA</t>
  </si>
  <si>
    <t>PRI202606-D836-097</t>
  </si>
  <si>
    <t>KADONDI RAHUMAH</t>
  </si>
  <si>
    <t>PRI202606-VVDE-098</t>
  </si>
  <si>
    <t>NAFUNA NURAH</t>
  </si>
  <si>
    <t>PRI202606-SJH8-083</t>
  </si>
  <si>
    <t>PRIMARY FIVE</t>
  </si>
  <si>
    <t>NAMUKOSE RASHIMA</t>
  </si>
  <si>
    <t>PRI202606-17O8-084</t>
  </si>
  <si>
    <t>MUZAKI KULUSUM</t>
  </si>
  <si>
    <t>PRI202606-QPXO-085</t>
  </si>
  <si>
    <t>NASSABA HASSAN</t>
  </si>
  <si>
    <t>PRI202606-NMCO-086</t>
  </si>
  <si>
    <t>MUBAJJE  RAHIM</t>
  </si>
  <si>
    <t>PRI202606-0APR-087</t>
  </si>
  <si>
    <t>MUDEBO JAMADA</t>
  </si>
  <si>
    <t>PRI202606-WG1I-088</t>
  </si>
  <si>
    <t>MUKULU HUSSEIN</t>
  </si>
  <si>
    <t>PRI202606-2NSQ-089</t>
  </si>
  <si>
    <t>FAIZO HUSSEIN</t>
  </si>
  <si>
    <t>PRI202606-18F4-090</t>
  </si>
  <si>
    <t>MASABA ABDUL RAHMAN</t>
  </si>
  <si>
    <t>PRI202606-MST5-091</t>
  </si>
  <si>
    <t>MADADA SIRAJI</t>
  </si>
  <si>
    <t>PRI202606-SIGS-092</t>
  </si>
  <si>
    <t>NAFUNA NURU</t>
  </si>
  <si>
    <t>PRI202606-PPU0-079</t>
  </si>
  <si>
    <t>PRIMARY FOUR</t>
  </si>
  <si>
    <t>MUHAISIN AYUB</t>
  </si>
  <si>
    <t>PRI202606-ZQFX-081</t>
  </si>
  <si>
    <t>WAMONO ABDUL NASSULU</t>
  </si>
  <si>
    <t>PRI202606-4UJL-082</t>
  </si>
  <si>
    <t>NANDALA ABDUL SALAM</t>
  </si>
  <si>
    <t>PRI202606-VI26-065</t>
  </si>
  <si>
    <t>PRIMARY THREE</t>
  </si>
  <si>
    <t>ABDUL RAAF</t>
  </si>
  <si>
    <t>PRI202606-Q48N-066</t>
  </si>
  <si>
    <t>LUQMAN OKIROR</t>
  </si>
  <si>
    <t>PRI202606-VHOS-067</t>
  </si>
  <si>
    <t>ACENG RUTH DIAN</t>
  </si>
  <si>
    <t>PRI202606-R2D6-069</t>
  </si>
  <si>
    <t>NAMATAKA FAZIRA</t>
  </si>
  <si>
    <t>PRI202606-7DUO-070</t>
  </si>
  <si>
    <t>KHAAKA YUNUS</t>
  </si>
  <si>
    <t>PRI202606-0QFG-071</t>
  </si>
  <si>
    <t>AHMAD YUNUS</t>
  </si>
  <si>
    <t>PRI202606-GPI4-072</t>
  </si>
  <si>
    <t>MADINA HASSAN</t>
  </si>
  <si>
    <t>PRI202606-6VT2-073</t>
  </si>
  <si>
    <t>SUDAIS JUMA</t>
  </si>
  <si>
    <t>PRI202606-KCKW-074</t>
  </si>
  <si>
    <t>KYOBE IBRAHIM</t>
  </si>
  <si>
    <t>PRI202606-E2US-075</t>
  </si>
  <si>
    <t>NAFUNA AYUB</t>
  </si>
  <si>
    <t>PRI202606-VCZK-076</t>
  </si>
  <si>
    <t>NANSIRA JALIA</t>
  </si>
  <si>
    <t>PRI202606-CYG2-077</t>
  </si>
  <si>
    <t>WOMBOYA ABDUL</t>
  </si>
  <si>
    <t>PRI202606-AMBL-078</t>
  </si>
  <si>
    <t>GIDONGO SHELLAH</t>
  </si>
  <si>
    <t>PRI202606-EPCC-049</t>
  </si>
  <si>
    <t>PRIMARY TWO</t>
  </si>
  <si>
    <t>NABUKWASI LATIFAH</t>
  </si>
  <si>
    <t>PRI202606-ZW0K-050</t>
  </si>
  <si>
    <t>KIGANGA ABDUL RAZAQ</t>
  </si>
  <si>
    <t>PRI202606-Y8Q1-051</t>
  </si>
  <si>
    <t>WAMBEDE HALIM</t>
  </si>
  <si>
    <t>PRI202606-MXIQ-052</t>
  </si>
  <si>
    <t>SHIVAN HANNAH NAMBOZO</t>
  </si>
  <si>
    <t>PRI202606-601O-053</t>
  </si>
  <si>
    <t>NAMOME AMINAH</t>
  </si>
  <si>
    <t>PRI202606-1FD3-054</t>
  </si>
  <si>
    <t>NABIRYE FARIDAH NAKYANZI</t>
  </si>
  <si>
    <t>PRI202606-9FPR-056</t>
  </si>
  <si>
    <t>WASHEMBA DAN</t>
  </si>
  <si>
    <t>PRI202606-0QBS-057</t>
  </si>
  <si>
    <t>RANNIE MARIAM TONA</t>
  </si>
  <si>
    <t>PRI202606-LA9Y-058</t>
  </si>
  <si>
    <t>MUSUYA LATIFAH</t>
  </si>
  <si>
    <t>PRI202606-RQAC-060</t>
  </si>
  <si>
    <t>AMUGE KHADIJAH</t>
  </si>
  <si>
    <t>PRI202606-3PDO-061</t>
  </si>
  <si>
    <t>NANYIRI KHALID</t>
  </si>
  <si>
    <t>PRI202606-XF9C-062</t>
  </si>
  <si>
    <t>NABUKWASI SHIFAH</t>
  </si>
  <si>
    <t>PRI202606-NIG4-063</t>
  </si>
  <si>
    <t>KHAIRAT LOGOSE</t>
  </si>
  <si>
    <t>PRI202606-LHZO-064</t>
  </si>
  <si>
    <t>WANDERA YUSUF</t>
  </si>
  <si>
    <t>PRI202606-F149-036</t>
  </si>
  <si>
    <t>Primary 1</t>
  </si>
  <si>
    <t>MANAFA HAKIM</t>
  </si>
  <si>
    <t>PRI202606-WCLR-037</t>
  </si>
  <si>
    <t>KIGANGA RAMSHAN</t>
  </si>
  <si>
    <t>PRI202606-SNLL-038</t>
  </si>
  <si>
    <t>KAUKHA ROHAN</t>
  </si>
  <si>
    <t>PRI202606-NWQC-039</t>
  </si>
  <si>
    <t>SHADAD ABDUL SWAMAD</t>
  </si>
  <si>
    <t>PRI202606-URE0-040</t>
  </si>
  <si>
    <t>LWAGOMA ABASA (A.B)</t>
  </si>
  <si>
    <t>PRI202606-ZHLV-041</t>
  </si>
  <si>
    <t>WALUGEMBE SWALIHA</t>
  </si>
  <si>
    <t>PRI202606-HFR4-042</t>
  </si>
  <si>
    <t>SALUWA BINT RAJAB</t>
  </si>
  <si>
    <t>PRI202606-Y84I-043</t>
  </si>
  <si>
    <t>NAMUDOSI TAKIYA</t>
  </si>
  <si>
    <t>PRI202606-2HRQ-044</t>
  </si>
  <si>
    <t>MUKULU HUSSINAH</t>
  </si>
  <si>
    <t>PRI202606-5NHZ-045</t>
  </si>
  <si>
    <t>GAMISHA SHIRAT</t>
  </si>
  <si>
    <t>PRI202606-O0P4-046</t>
  </si>
  <si>
    <t>JASMINE RAZIYA (A.B)</t>
  </si>
  <si>
    <t>PRI202606-QJII-047</t>
  </si>
  <si>
    <t>AHSAN MUSA MUSOSI</t>
  </si>
  <si>
    <t>TOP202606-WNU6-027</t>
  </si>
  <si>
    <t>TOP CLASS</t>
  </si>
  <si>
    <t>NAMUGALI ALI</t>
  </si>
  <si>
    <t>TOP202606-5MY8-028</t>
  </si>
  <si>
    <t>NABENDE ABDU MUHAYIMIN</t>
  </si>
  <si>
    <t>TOP202606-M75T-029</t>
  </si>
  <si>
    <t>NAGUDI REHEMA</t>
  </si>
  <si>
    <t>TOP202606-0XRW-030</t>
  </si>
  <si>
    <t>NANDUDU NAHIA</t>
  </si>
  <si>
    <t>TOP202606-MF2T-033</t>
  </si>
  <si>
    <t>HIMLAH ALI WANDEKA</t>
  </si>
  <si>
    <t>TOP202606-VMBU-031</t>
  </si>
  <si>
    <t>NAMULONDO THURAIBAH</t>
  </si>
  <si>
    <t>TOP202606-J08N-032</t>
  </si>
  <si>
    <t>KADONDI SUHAILAH</t>
  </si>
  <si>
    <t>TOP202606-C4S0-035</t>
  </si>
  <si>
    <t>MUDOMA MUSIHAB</t>
  </si>
  <si>
    <t>MID202606-PH8E-017</t>
  </si>
  <si>
    <t>MIDDLE CLASS</t>
  </si>
  <si>
    <t>NAZIKA ANAAZIR</t>
  </si>
  <si>
    <t>MID202606-RT0V-020</t>
  </si>
  <si>
    <t>NAFUNA AISAT</t>
  </si>
  <si>
    <t>MID202606-GAXG-022</t>
  </si>
  <si>
    <t>MAGUYA ISHAM</t>
  </si>
  <si>
    <t>MID202606-HLUR-023</t>
  </si>
  <si>
    <t>NANDUDU MARY</t>
  </si>
  <si>
    <t>MID202606-FNSB-024</t>
  </si>
  <si>
    <t>ABDUL RAHUMAN RAJAB</t>
  </si>
  <si>
    <t>MID202606-HFHO-025</t>
  </si>
  <si>
    <t>NAFUNA TAALIAH DIANE</t>
  </si>
  <si>
    <t>BAB202606-OJQH-002</t>
  </si>
  <si>
    <t>NANGOBI  AALIYAH</t>
  </si>
  <si>
    <t>BAB202606-VPFB-003</t>
  </si>
  <si>
    <t>NAWAI AYUB ANTOPA</t>
  </si>
  <si>
    <t>BAB202606-YCWF-004</t>
  </si>
  <si>
    <t>NACHEWALA SHEILA JOLLINE</t>
  </si>
  <si>
    <t>BAB202606-1PUZ-005</t>
  </si>
  <si>
    <t>WANDERA SHAHEEMAH ZAMZAM</t>
  </si>
  <si>
    <t>BAB202606-5SFV-006</t>
  </si>
  <si>
    <t>MUKULU HUDAIYAH</t>
  </si>
  <si>
    <t>BAB202606-WL1M-007</t>
  </si>
  <si>
    <t>NAMBALE IMRAN</t>
  </si>
  <si>
    <t>BAB202606-MYDM-008</t>
  </si>
  <si>
    <t>ARHAM MUSA MUSOSI</t>
  </si>
  <si>
    <t>BAB202606-W51E-009</t>
  </si>
  <si>
    <t>ABU UBAIDAH UTHMAN AL NAZEED</t>
  </si>
  <si>
    <t>BAB202606-9U5C-011</t>
  </si>
  <si>
    <t>ZAAKE AMAAR</t>
  </si>
  <si>
    <t>BAB202606-1S8D-012</t>
  </si>
  <si>
    <t>MUTENYO UKASHA</t>
  </si>
  <si>
    <t>BAB202606-ZIAK-013</t>
  </si>
  <si>
    <t>BAIBAI COLLINE</t>
  </si>
  <si>
    <t>BAB202606-7OJD-014</t>
  </si>
  <si>
    <t>Partial</t>
  </si>
  <si>
    <t>Metric</t>
  </si>
  <si>
    <t>Value</t>
  </si>
  <si>
    <t>Report Generated On</t>
  </si>
  <si>
    <t>2026-06-13 11:27:40</t>
  </si>
  <si>
    <t>Total Invoices</t>
  </si>
  <si>
    <t>UGX 29,680,000.00</t>
  </si>
  <si>
    <t>Total Paid Amount (UGX)</t>
  </si>
  <si>
    <t>UGX 200,000.00</t>
  </si>
  <si>
    <t>Total Balance (UGX)</t>
  </si>
  <si>
    <t>UGX 29,480,000.00</t>
  </si>
  <si>
    <t>Collection Rate</t>
  </si>
  <si>
    <t>0.7%</t>
  </si>
  <si>
    <t>Start Date</t>
  </si>
  <si>
    <t>2026-06-13</t>
  </si>
  <si>
    <t>End Date</t>
  </si>
  <si>
    <t>Categories Filter</t>
  </si>
  <si>
    <t>All</t>
  </si>
  <si>
    <t>Status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</si>
</sst>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zoomScale="120" zoomScaleNormal="120" workbookViewId="0">
      <selection activeCell="F14" sqref="F14"/>
    </sheetView>
  </sheetViews>
  <sheetFormatPr defaultColWidth="15.140625" defaultRowHeight="15" x14ac:dyDescent="0.25"/>
  <cols>
    <col min="1" max="1" width="33" style="1" bestFit="1" customWidth="1"/>
    <col min="2" max="2" width="13.7109375" style="1" customWidth="1"/>
    <col min="3" max="3" width="15.5703125" style="1" bestFit="1" customWidth="1"/>
    <col min="4" max="4" width="21.140625" style="1" bestFit="1" customWidth="1"/>
    <col min="5" max="5" width="11.5703125" style="1" customWidth="1"/>
    <col min="6" max="6" width="15.85546875" style="1" bestFit="1" customWidth="1"/>
    <col min="7" max="16384" width="15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8</v>
      </c>
      <c r="B2" s="1" t="s">
        <v>9</v>
      </c>
      <c r="C2" s="1" t="s">
        <v>10</v>
      </c>
      <c r="D2" s="1">
        <v>410000</v>
      </c>
      <c r="E2" s="1">
        <f>D2-F2</f>
        <v>0</v>
      </c>
      <c r="F2" s="1">
        <f>D2</f>
        <v>410000</v>
      </c>
    </row>
    <row r="3" spans="1:6" x14ac:dyDescent="0.25">
      <c r="A3" s="1" t="s">
        <v>13</v>
      </c>
      <c r="B3" s="1" t="s">
        <v>14</v>
      </c>
      <c r="C3" s="1" t="s">
        <v>15</v>
      </c>
      <c r="D3" s="1">
        <v>350000</v>
      </c>
      <c r="E3" s="1">
        <v>0</v>
      </c>
      <c r="F3" s="1">
        <f t="shared" ref="F3:F66" si="0">D3</f>
        <v>350000</v>
      </c>
    </row>
    <row r="4" spans="1:6" x14ac:dyDescent="0.25">
      <c r="A4" s="1" t="s">
        <v>17</v>
      </c>
      <c r="B4" s="1" t="s">
        <v>18</v>
      </c>
      <c r="C4" s="1" t="s">
        <v>15</v>
      </c>
      <c r="D4" s="1">
        <v>150000</v>
      </c>
      <c r="E4" s="1">
        <v>0</v>
      </c>
      <c r="F4" s="1">
        <f t="shared" si="0"/>
        <v>150000</v>
      </c>
    </row>
    <row r="5" spans="1:6" x14ac:dyDescent="0.25">
      <c r="A5" s="1" t="s">
        <v>19</v>
      </c>
      <c r="B5" s="1" t="s">
        <v>20</v>
      </c>
      <c r="C5" s="1" t="s">
        <v>21</v>
      </c>
      <c r="D5" s="1">
        <v>600000</v>
      </c>
      <c r="E5" s="1">
        <f>D5-F5</f>
        <v>0</v>
      </c>
      <c r="F5" s="1">
        <f t="shared" si="0"/>
        <v>600000</v>
      </c>
    </row>
    <row r="6" spans="1:6" x14ac:dyDescent="0.25">
      <c r="A6" s="1" t="s">
        <v>22</v>
      </c>
      <c r="B6" s="1" t="s">
        <v>23</v>
      </c>
      <c r="C6" s="1" t="s">
        <v>21</v>
      </c>
      <c r="D6" s="1">
        <v>250000</v>
      </c>
      <c r="E6" s="1">
        <f t="shared" ref="E6:E10" si="1">D6-F6</f>
        <v>0</v>
      </c>
      <c r="F6" s="1">
        <f t="shared" si="0"/>
        <v>250000</v>
      </c>
    </row>
    <row r="7" spans="1:6" x14ac:dyDescent="0.25">
      <c r="A7" s="1" t="s">
        <v>24</v>
      </c>
      <c r="B7" s="1" t="s">
        <v>25</v>
      </c>
      <c r="C7" s="1" t="s">
        <v>21</v>
      </c>
      <c r="D7" s="1">
        <v>250000</v>
      </c>
      <c r="E7" s="1">
        <f t="shared" si="1"/>
        <v>0</v>
      </c>
      <c r="F7" s="1">
        <f t="shared" si="0"/>
        <v>250000</v>
      </c>
    </row>
    <row r="8" spans="1:6" x14ac:dyDescent="0.25">
      <c r="A8" s="1" t="s">
        <v>26</v>
      </c>
      <c r="B8" s="1" t="s">
        <v>27</v>
      </c>
      <c r="C8" s="1" t="s">
        <v>21</v>
      </c>
      <c r="D8" s="1">
        <v>450000</v>
      </c>
      <c r="E8" s="1">
        <f t="shared" si="1"/>
        <v>450000</v>
      </c>
      <c r="F8" s="1">
        <v>0</v>
      </c>
    </row>
    <row r="9" spans="1:6" x14ac:dyDescent="0.25">
      <c r="A9" s="1" t="s">
        <v>28</v>
      </c>
      <c r="B9" s="1" t="s">
        <v>29</v>
      </c>
      <c r="C9" s="1" t="s">
        <v>21</v>
      </c>
      <c r="D9" s="1">
        <v>250000</v>
      </c>
      <c r="E9" s="1">
        <f t="shared" si="1"/>
        <v>0</v>
      </c>
      <c r="F9" s="1">
        <f t="shared" si="0"/>
        <v>250000</v>
      </c>
    </row>
    <row r="10" spans="1:6" x14ac:dyDescent="0.25">
      <c r="A10" s="1" t="s">
        <v>30</v>
      </c>
      <c r="B10" s="1" t="s">
        <v>31</v>
      </c>
      <c r="C10" s="1" t="s">
        <v>21</v>
      </c>
      <c r="D10" s="1">
        <v>410000</v>
      </c>
      <c r="E10" s="1">
        <f t="shared" si="1"/>
        <v>0</v>
      </c>
      <c r="F10" s="1">
        <f t="shared" si="0"/>
        <v>410000</v>
      </c>
    </row>
    <row r="11" spans="1:6" x14ac:dyDescent="0.25">
      <c r="A11" s="1" t="s">
        <v>32</v>
      </c>
      <c r="B11" s="1" t="s">
        <v>33</v>
      </c>
      <c r="C11" s="1" t="s">
        <v>34</v>
      </c>
      <c r="D11" s="1">
        <v>350000</v>
      </c>
      <c r="E11" s="1">
        <f>D11-F11</f>
        <v>200000</v>
      </c>
      <c r="F11" s="1">
        <v>150000</v>
      </c>
    </row>
    <row r="12" spans="1:6" x14ac:dyDescent="0.25">
      <c r="A12" s="1" t="s">
        <v>35</v>
      </c>
      <c r="B12" s="1" t="s">
        <v>36</v>
      </c>
      <c r="C12" s="1" t="s">
        <v>34</v>
      </c>
      <c r="D12" s="1">
        <v>100000</v>
      </c>
      <c r="E12" s="1">
        <f t="shared" ref="E12:E20" si="2">D12-F12</f>
        <v>0</v>
      </c>
      <c r="F12" s="1">
        <f t="shared" si="0"/>
        <v>100000</v>
      </c>
    </row>
    <row r="13" spans="1:6" x14ac:dyDescent="0.25">
      <c r="A13" s="1" t="s">
        <v>37</v>
      </c>
      <c r="B13" s="1" t="s">
        <v>38</v>
      </c>
      <c r="C13" s="1" t="s">
        <v>34</v>
      </c>
      <c r="D13" s="1">
        <v>120000</v>
      </c>
      <c r="E13" s="1">
        <f t="shared" si="2"/>
        <v>0</v>
      </c>
      <c r="F13" s="1">
        <f t="shared" si="0"/>
        <v>120000</v>
      </c>
    </row>
    <row r="14" spans="1:6" x14ac:dyDescent="0.25">
      <c r="A14" s="1" t="s">
        <v>39</v>
      </c>
      <c r="B14" s="1" t="s">
        <v>40</v>
      </c>
      <c r="C14" s="1" t="s">
        <v>34</v>
      </c>
      <c r="D14" s="1">
        <v>250000</v>
      </c>
      <c r="E14" s="1">
        <f t="shared" si="2"/>
        <v>0</v>
      </c>
      <c r="F14" s="1">
        <f t="shared" si="0"/>
        <v>250000</v>
      </c>
    </row>
    <row r="15" spans="1:6" x14ac:dyDescent="0.25">
      <c r="A15" s="1" t="s">
        <v>41</v>
      </c>
      <c r="B15" s="1" t="s">
        <v>42</v>
      </c>
      <c r="C15" s="1" t="s">
        <v>34</v>
      </c>
      <c r="D15" s="1">
        <v>190000</v>
      </c>
      <c r="E15" s="1">
        <f t="shared" si="2"/>
        <v>0</v>
      </c>
      <c r="F15" s="1">
        <f t="shared" si="0"/>
        <v>190000</v>
      </c>
    </row>
    <row r="16" spans="1:6" x14ac:dyDescent="0.25">
      <c r="A16" s="1" t="s">
        <v>43</v>
      </c>
      <c r="B16" s="1" t="s">
        <v>44</v>
      </c>
      <c r="C16" s="1" t="s">
        <v>34</v>
      </c>
      <c r="D16" s="1">
        <v>100000</v>
      </c>
      <c r="E16" s="1">
        <f t="shared" si="2"/>
        <v>0</v>
      </c>
      <c r="F16" s="1">
        <f t="shared" si="0"/>
        <v>100000</v>
      </c>
    </row>
    <row r="17" spans="1:6" x14ac:dyDescent="0.25">
      <c r="A17" s="1" t="s">
        <v>45</v>
      </c>
      <c r="B17" s="1" t="s">
        <v>46</v>
      </c>
      <c r="C17" s="1" t="s">
        <v>34</v>
      </c>
      <c r="D17" s="1">
        <v>100000</v>
      </c>
      <c r="E17" s="1">
        <f t="shared" si="2"/>
        <v>0</v>
      </c>
      <c r="F17" s="1">
        <f t="shared" si="0"/>
        <v>100000</v>
      </c>
    </row>
    <row r="18" spans="1:6" x14ac:dyDescent="0.25">
      <c r="A18" s="1" t="s">
        <v>47</v>
      </c>
      <c r="B18" s="1" t="s">
        <v>48</v>
      </c>
      <c r="C18" s="1" t="s">
        <v>34</v>
      </c>
      <c r="D18" s="1">
        <v>410000</v>
      </c>
      <c r="E18" s="1">
        <f t="shared" si="2"/>
        <v>0</v>
      </c>
      <c r="F18" s="1">
        <f t="shared" si="0"/>
        <v>410000</v>
      </c>
    </row>
    <row r="19" spans="1:6" x14ac:dyDescent="0.25">
      <c r="A19" s="1" t="s">
        <v>49</v>
      </c>
      <c r="B19" s="1" t="s">
        <v>50</v>
      </c>
      <c r="C19" s="1" t="s">
        <v>34</v>
      </c>
      <c r="D19" s="1">
        <v>500000</v>
      </c>
      <c r="E19" s="1">
        <f t="shared" si="2"/>
        <v>0</v>
      </c>
      <c r="F19" s="1">
        <f t="shared" si="0"/>
        <v>500000</v>
      </c>
    </row>
    <row r="20" spans="1:6" x14ac:dyDescent="0.25">
      <c r="A20" s="1" t="s">
        <v>51</v>
      </c>
      <c r="B20" s="1" t="s">
        <v>52</v>
      </c>
      <c r="C20" s="1" t="s">
        <v>34</v>
      </c>
      <c r="D20" s="1">
        <v>350000</v>
      </c>
      <c r="E20" s="1">
        <f t="shared" si="2"/>
        <v>0</v>
      </c>
      <c r="F20" s="1">
        <f t="shared" si="0"/>
        <v>350000</v>
      </c>
    </row>
    <row r="21" spans="1:6" x14ac:dyDescent="0.25">
      <c r="A21" s="1" t="s">
        <v>53</v>
      </c>
      <c r="B21" s="1" t="s">
        <v>54</v>
      </c>
      <c r="C21" s="1" t="s">
        <v>55</v>
      </c>
      <c r="D21" s="1">
        <v>410000</v>
      </c>
      <c r="E21" s="1">
        <f>D21-F21</f>
        <v>0</v>
      </c>
      <c r="F21" s="1">
        <f t="shared" si="0"/>
        <v>410000</v>
      </c>
    </row>
    <row r="22" spans="1:6" x14ac:dyDescent="0.25">
      <c r="A22" s="1" t="s">
        <v>56</v>
      </c>
      <c r="B22" s="1" t="s">
        <v>57</v>
      </c>
      <c r="C22" s="1" t="s">
        <v>55</v>
      </c>
      <c r="D22" s="1">
        <v>175000</v>
      </c>
      <c r="E22" s="1">
        <f t="shared" ref="E22:E23" si="3">D22-F22</f>
        <v>175000</v>
      </c>
      <c r="F22" s="1">
        <v>0</v>
      </c>
    </row>
    <row r="23" spans="1:6" x14ac:dyDescent="0.25">
      <c r="A23" s="1" t="s">
        <v>58</v>
      </c>
      <c r="B23" s="1" t="s">
        <v>59</v>
      </c>
      <c r="C23" s="1" t="s">
        <v>55</v>
      </c>
      <c r="D23" s="1">
        <v>100000</v>
      </c>
      <c r="E23" s="1">
        <f t="shared" si="3"/>
        <v>0</v>
      </c>
      <c r="F23" s="1">
        <f t="shared" si="0"/>
        <v>100000</v>
      </c>
    </row>
    <row r="24" spans="1:6" x14ac:dyDescent="0.25">
      <c r="A24" s="1" t="s">
        <v>60</v>
      </c>
      <c r="B24" s="1" t="s">
        <v>61</v>
      </c>
      <c r="C24" s="1" t="s">
        <v>62</v>
      </c>
      <c r="D24" s="1">
        <v>325000</v>
      </c>
      <c r="E24" s="1">
        <f>D24-F24</f>
        <v>0</v>
      </c>
      <c r="F24" s="1">
        <f t="shared" si="0"/>
        <v>325000</v>
      </c>
    </row>
    <row r="25" spans="1:6" x14ac:dyDescent="0.25">
      <c r="A25" s="1" t="s">
        <v>63</v>
      </c>
      <c r="B25" s="1" t="s">
        <v>64</v>
      </c>
      <c r="C25" s="1" t="s">
        <v>62</v>
      </c>
      <c r="D25" s="1">
        <v>500000</v>
      </c>
      <c r="E25" s="1">
        <f t="shared" ref="E25:E36" si="4">D25-F25</f>
        <v>500000</v>
      </c>
      <c r="F25" s="1">
        <v>0</v>
      </c>
    </row>
    <row r="26" spans="1:6" x14ac:dyDescent="0.25">
      <c r="A26" s="1" t="s">
        <v>65</v>
      </c>
      <c r="B26" s="1" t="s">
        <v>66</v>
      </c>
      <c r="C26" s="1" t="s">
        <v>62</v>
      </c>
      <c r="D26" s="1">
        <v>350000</v>
      </c>
      <c r="E26" s="1">
        <f t="shared" si="4"/>
        <v>0</v>
      </c>
      <c r="F26" s="1">
        <f t="shared" si="0"/>
        <v>350000</v>
      </c>
    </row>
    <row r="27" spans="1:6" x14ac:dyDescent="0.25">
      <c r="A27" s="1" t="s">
        <v>67</v>
      </c>
      <c r="B27" s="1" t="s">
        <v>68</v>
      </c>
      <c r="C27" s="1" t="s">
        <v>62</v>
      </c>
      <c r="D27" s="1">
        <v>50000</v>
      </c>
      <c r="E27" s="1">
        <f t="shared" si="4"/>
        <v>0</v>
      </c>
      <c r="F27" s="1">
        <f t="shared" si="0"/>
        <v>50000</v>
      </c>
    </row>
    <row r="28" spans="1:6" x14ac:dyDescent="0.25">
      <c r="A28" s="1" t="s">
        <v>69</v>
      </c>
      <c r="B28" s="1" t="s">
        <v>70</v>
      </c>
      <c r="C28" s="1" t="s">
        <v>62</v>
      </c>
      <c r="D28" s="1">
        <v>250000</v>
      </c>
      <c r="E28" s="1">
        <f t="shared" si="4"/>
        <v>100000</v>
      </c>
      <c r="F28" s="1">
        <v>150000</v>
      </c>
    </row>
    <row r="29" spans="1:6" x14ac:dyDescent="0.25">
      <c r="A29" s="1" t="s">
        <v>71</v>
      </c>
      <c r="B29" s="1" t="s">
        <v>72</v>
      </c>
      <c r="C29" s="1" t="s">
        <v>62</v>
      </c>
      <c r="D29" s="1">
        <v>350000</v>
      </c>
      <c r="E29" s="1">
        <f t="shared" si="4"/>
        <v>100000</v>
      </c>
      <c r="F29" s="1">
        <v>250000</v>
      </c>
    </row>
    <row r="30" spans="1:6" x14ac:dyDescent="0.25">
      <c r="A30" s="1" t="s">
        <v>73</v>
      </c>
      <c r="B30" s="1" t="s">
        <v>74</v>
      </c>
      <c r="C30" s="1" t="s">
        <v>62</v>
      </c>
      <c r="D30" s="1">
        <v>250000</v>
      </c>
      <c r="E30" s="1">
        <f t="shared" si="4"/>
        <v>0</v>
      </c>
      <c r="F30" s="1">
        <f t="shared" si="0"/>
        <v>250000</v>
      </c>
    </row>
    <row r="31" spans="1:6" x14ac:dyDescent="0.25">
      <c r="A31" s="1" t="s">
        <v>75</v>
      </c>
      <c r="B31" s="1" t="s">
        <v>76</v>
      </c>
      <c r="C31" s="1" t="s">
        <v>62</v>
      </c>
      <c r="D31" s="1">
        <v>410000</v>
      </c>
      <c r="E31" s="1">
        <f t="shared" si="4"/>
        <v>0</v>
      </c>
      <c r="F31" s="1">
        <f t="shared" si="0"/>
        <v>410000</v>
      </c>
    </row>
    <row r="32" spans="1:6" x14ac:dyDescent="0.25">
      <c r="A32" s="1" t="s">
        <v>77</v>
      </c>
      <c r="B32" s="1" t="s">
        <v>78</v>
      </c>
      <c r="C32" s="1" t="s">
        <v>62</v>
      </c>
      <c r="D32" s="1">
        <v>350000</v>
      </c>
      <c r="E32" s="1">
        <f t="shared" si="4"/>
        <v>0</v>
      </c>
      <c r="F32" s="1">
        <f t="shared" si="0"/>
        <v>350000</v>
      </c>
    </row>
    <row r="33" spans="1:6" x14ac:dyDescent="0.25">
      <c r="A33" s="1" t="s">
        <v>79</v>
      </c>
      <c r="B33" s="1" t="s">
        <v>80</v>
      </c>
      <c r="C33" s="1" t="s">
        <v>62</v>
      </c>
      <c r="D33" s="1">
        <v>170000</v>
      </c>
      <c r="E33" s="1">
        <f t="shared" si="4"/>
        <v>170000</v>
      </c>
      <c r="F33" s="1">
        <v>0</v>
      </c>
    </row>
    <row r="34" spans="1:6" x14ac:dyDescent="0.25">
      <c r="A34" s="1" t="s">
        <v>81</v>
      </c>
      <c r="B34" s="1" t="s">
        <v>82</v>
      </c>
      <c r="C34" s="1" t="s">
        <v>62</v>
      </c>
      <c r="D34" s="1">
        <v>350000</v>
      </c>
      <c r="E34" s="1">
        <f t="shared" si="4"/>
        <v>225000</v>
      </c>
      <c r="F34" s="1">
        <v>125000</v>
      </c>
    </row>
    <row r="35" spans="1:6" x14ac:dyDescent="0.25">
      <c r="A35" s="1" t="s">
        <v>83</v>
      </c>
      <c r="B35" s="1" t="s">
        <v>84</v>
      </c>
      <c r="C35" s="1" t="s">
        <v>62</v>
      </c>
      <c r="D35" s="1">
        <v>120000</v>
      </c>
      <c r="E35" s="1">
        <f t="shared" si="4"/>
        <v>0</v>
      </c>
      <c r="F35" s="1">
        <f t="shared" si="0"/>
        <v>120000</v>
      </c>
    </row>
    <row r="36" spans="1:6" x14ac:dyDescent="0.25">
      <c r="A36" s="1" t="s">
        <v>85</v>
      </c>
      <c r="B36" s="1" t="s">
        <v>86</v>
      </c>
      <c r="C36" s="1" t="s">
        <v>62</v>
      </c>
      <c r="D36" s="1">
        <v>500000</v>
      </c>
      <c r="E36" s="1">
        <f t="shared" si="4"/>
        <v>0</v>
      </c>
      <c r="F36" s="1">
        <f t="shared" si="0"/>
        <v>500000</v>
      </c>
    </row>
    <row r="37" spans="1:6" x14ac:dyDescent="0.25">
      <c r="A37" s="1" t="s">
        <v>87</v>
      </c>
      <c r="B37" s="1" t="s">
        <v>88</v>
      </c>
      <c r="C37" s="1" t="s">
        <v>89</v>
      </c>
      <c r="D37" s="1">
        <v>100000</v>
      </c>
      <c r="E37" s="1">
        <f>D37-F37</f>
        <v>0</v>
      </c>
      <c r="F37" s="1">
        <f t="shared" si="0"/>
        <v>100000</v>
      </c>
    </row>
    <row r="38" spans="1:6" x14ac:dyDescent="0.25">
      <c r="A38" s="1" t="s">
        <v>90</v>
      </c>
      <c r="B38" s="1" t="s">
        <v>91</v>
      </c>
      <c r="C38" s="1" t="s">
        <v>89</v>
      </c>
      <c r="D38" s="1">
        <v>350000</v>
      </c>
      <c r="E38" s="1">
        <f t="shared" ref="E38:E50" si="5">D38-F38</f>
        <v>295000</v>
      </c>
      <c r="F38" s="1">
        <v>55000</v>
      </c>
    </row>
    <row r="39" spans="1:6" x14ac:dyDescent="0.25">
      <c r="A39" s="1" t="s">
        <v>92</v>
      </c>
      <c r="B39" s="1" t="s">
        <v>93</v>
      </c>
      <c r="C39" s="1" t="s">
        <v>89</v>
      </c>
      <c r="D39" s="1">
        <v>410000</v>
      </c>
      <c r="E39" s="1">
        <f t="shared" si="5"/>
        <v>0</v>
      </c>
      <c r="F39" s="1">
        <f t="shared" si="0"/>
        <v>410000</v>
      </c>
    </row>
    <row r="40" spans="1:6" x14ac:dyDescent="0.25">
      <c r="A40" s="1" t="s">
        <v>94</v>
      </c>
      <c r="B40" s="1" t="s">
        <v>95</v>
      </c>
      <c r="C40" s="1" t="s">
        <v>89</v>
      </c>
      <c r="D40" s="1">
        <v>410000</v>
      </c>
      <c r="E40" s="1">
        <f t="shared" si="5"/>
        <v>0</v>
      </c>
      <c r="F40" s="1">
        <f t="shared" si="0"/>
        <v>410000</v>
      </c>
    </row>
    <row r="41" spans="1:6" x14ac:dyDescent="0.25">
      <c r="A41" s="1" t="s">
        <v>96</v>
      </c>
      <c r="B41" s="1" t="s">
        <v>97</v>
      </c>
      <c r="C41" s="1" t="s">
        <v>89</v>
      </c>
      <c r="D41" s="1">
        <v>100000</v>
      </c>
      <c r="E41" s="1">
        <f t="shared" si="5"/>
        <v>0</v>
      </c>
      <c r="F41" s="1">
        <f t="shared" si="0"/>
        <v>100000</v>
      </c>
    </row>
    <row r="42" spans="1:6" x14ac:dyDescent="0.25">
      <c r="A42" s="1" t="s">
        <v>98</v>
      </c>
      <c r="B42" s="1" t="s">
        <v>99</v>
      </c>
      <c r="C42" s="1" t="s">
        <v>89</v>
      </c>
      <c r="D42" s="1">
        <v>600000</v>
      </c>
      <c r="E42" s="1">
        <f t="shared" si="5"/>
        <v>0</v>
      </c>
      <c r="F42" s="1">
        <f t="shared" si="0"/>
        <v>600000</v>
      </c>
    </row>
    <row r="43" spans="1:6" x14ac:dyDescent="0.25">
      <c r="A43" s="1" t="s">
        <v>100</v>
      </c>
      <c r="B43" s="1" t="s">
        <v>101</v>
      </c>
      <c r="C43" s="1" t="s">
        <v>89</v>
      </c>
      <c r="D43" s="1">
        <v>420000</v>
      </c>
      <c r="E43" s="1">
        <f t="shared" si="5"/>
        <v>420000</v>
      </c>
      <c r="F43" s="1">
        <v>0</v>
      </c>
    </row>
    <row r="44" spans="1:6" x14ac:dyDescent="0.25">
      <c r="A44" s="1" t="s">
        <v>102</v>
      </c>
      <c r="B44" s="1" t="s">
        <v>103</v>
      </c>
      <c r="C44" s="1" t="s">
        <v>89</v>
      </c>
      <c r="D44" s="1">
        <v>200000</v>
      </c>
      <c r="E44" s="1">
        <f t="shared" si="5"/>
        <v>0</v>
      </c>
      <c r="F44" s="1">
        <f t="shared" si="0"/>
        <v>200000</v>
      </c>
    </row>
    <row r="45" spans="1:6" x14ac:dyDescent="0.25">
      <c r="A45" s="1" t="s">
        <v>104</v>
      </c>
      <c r="B45" s="1" t="s">
        <v>105</v>
      </c>
      <c r="C45" s="1" t="s">
        <v>89</v>
      </c>
      <c r="D45" s="1">
        <v>780000</v>
      </c>
      <c r="E45" s="1">
        <f t="shared" si="5"/>
        <v>500000</v>
      </c>
      <c r="F45" s="1">
        <v>280000</v>
      </c>
    </row>
    <row r="46" spans="1:6" x14ac:dyDescent="0.25">
      <c r="A46" s="1" t="s">
        <v>106</v>
      </c>
      <c r="B46" s="1" t="s">
        <v>107</v>
      </c>
      <c r="C46" s="1" t="s">
        <v>89</v>
      </c>
      <c r="D46" s="1">
        <v>550000</v>
      </c>
      <c r="E46" s="1">
        <f t="shared" si="5"/>
        <v>0</v>
      </c>
      <c r="F46" s="1">
        <f t="shared" si="0"/>
        <v>550000</v>
      </c>
    </row>
    <row r="47" spans="1:6" x14ac:dyDescent="0.25">
      <c r="A47" s="1" t="s">
        <v>108</v>
      </c>
      <c r="B47" s="1" t="s">
        <v>109</v>
      </c>
      <c r="C47" s="1" t="s">
        <v>89</v>
      </c>
      <c r="D47" s="1">
        <v>350000</v>
      </c>
      <c r="E47" s="1">
        <f t="shared" si="5"/>
        <v>0</v>
      </c>
      <c r="F47" s="1">
        <f t="shared" si="0"/>
        <v>350000</v>
      </c>
    </row>
    <row r="48" spans="1:6" x14ac:dyDescent="0.25">
      <c r="A48" s="1" t="s">
        <v>110</v>
      </c>
      <c r="B48" s="1" t="s">
        <v>111</v>
      </c>
      <c r="C48" s="1" t="s">
        <v>89</v>
      </c>
      <c r="D48" s="1">
        <v>350000</v>
      </c>
      <c r="E48" s="1">
        <f t="shared" si="5"/>
        <v>0</v>
      </c>
      <c r="F48" s="1">
        <f t="shared" si="0"/>
        <v>350000</v>
      </c>
    </row>
    <row r="49" spans="1:6" x14ac:dyDescent="0.25">
      <c r="A49" s="1" t="s">
        <v>112</v>
      </c>
      <c r="B49" s="1" t="s">
        <v>113</v>
      </c>
      <c r="C49" s="1" t="s">
        <v>89</v>
      </c>
      <c r="D49" s="1">
        <v>500000</v>
      </c>
      <c r="E49" s="1">
        <f t="shared" si="5"/>
        <v>0</v>
      </c>
      <c r="F49" s="1">
        <f t="shared" si="0"/>
        <v>500000</v>
      </c>
    </row>
    <row r="50" spans="1:6" x14ac:dyDescent="0.25">
      <c r="A50" s="1" t="s">
        <v>114</v>
      </c>
      <c r="B50" s="1" t="s">
        <v>115</v>
      </c>
      <c r="C50" s="1" t="s">
        <v>89</v>
      </c>
      <c r="D50" s="1">
        <v>620000</v>
      </c>
      <c r="E50" s="1">
        <f t="shared" si="5"/>
        <v>0</v>
      </c>
      <c r="F50" s="1">
        <f t="shared" si="0"/>
        <v>620000</v>
      </c>
    </row>
    <row r="51" spans="1:6" x14ac:dyDescent="0.25">
      <c r="A51" s="1" t="s">
        <v>116</v>
      </c>
      <c r="B51" s="1" t="s">
        <v>117</v>
      </c>
      <c r="C51" s="1" t="s">
        <v>118</v>
      </c>
      <c r="D51" s="1">
        <v>610000</v>
      </c>
      <c r="E51" s="1">
        <f>D51-F51</f>
        <v>0</v>
      </c>
      <c r="F51" s="1">
        <f t="shared" si="0"/>
        <v>610000</v>
      </c>
    </row>
    <row r="52" spans="1:6" x14ac:dyDescent="0.25">
      <c r="A52" s="1" t="s">
        <v>119</v>
      </c>
      <c r="B52" s="1" t="s">
        <v>120</v>
      </c>
      <c r="C52" s="1" t="s">
        <v>118</v>
      </c>
      <c r="D52" s="1">
        <v>250000</v>
      </c>
      <c r="E52" s="1">
        <f t="shared" ref="E52:E62" si="6">D52-F52</f>
        <v>0</v>
      </c>
      <c r="F52" s="1">
        <f t="shared" si="0"/>
        <v>250000</v>
      </c>
    </row>
    <row r="53" spans="1:6" x14ac:dyDescent="0.25">
      <c r="A53" s="1" t="s">
        <v>121</v>
      </c>
      <c r="B53" s="1" t="s">
        <v>122</v>
      </c>
      <c r="C53" s="1" t="s">
        <v>118</v>
      </c>
      <c r="D53" s="1">
        <v>410000</v>
      </c>
      <c r="E53" s="1">
        <f t="shared" si="6"/>
        <v>0</v>
      </c>
      <c r="F53" s="1">
        <f t="shared" si="0"/>
        <v>410000</v>
      </c>
    </row>
    <row r="54" spans="1:6" x14ac:dyDescent="0.25">
      <c r="A54" s="1" t="s">
        <v>123</v>
      </c>
      <c r="B54" s="1" t="s">
        <v>124</v>
      </c>
      <c r="C54" s="1" t="s">
        <v>118</v>
      </c>
      <c r="D54" s="1">
        <v>410000</v>
      </c>
      <c r="E54" s="1">
        <f t="shared" si="6"/>
        <v>100000</v>
      </c>
      <c r="F54" s="1">
        <v>310000</v>
      </c>
    </row>
    <row r="55" spans="1:6" x14ac:dyDescent="0.25">
      <c r="A55" s="1" t="s">
        <v>125</v>
      </c>
      <c r="B55" s="1" t="s">
        <v>126</v>
      </c>
      <c r="C55" s="1" t="s">
        <v>118</v>
      </c>
      <c r="D55" s="1">
        <v>410000</v>
      </c>
      <c r="E55" s="1">
        <f t="shared" si="6"/>
        <v>100000</v>
      </c>
      <c r="F55" s="1">
        <v>310000</v>
      </c>
    </row>
    <row r="56" spans="1:6" x14ac:dyDescent="0.25">
      <c r="A56" s="1" t="s">
        <v>127</v>
      </c>
      <c r="B56" s="1" t="s">
        <v>128</v>
      </c>
      <c r="C56" s="1" t="s">
        <v>118</v>
      </c>
      <c r="D56" s="1">
        <v>100000</v>
      </c>
      <c r="E56" s="1">
        <f t="shared" si="6"/>
        <v>0</v>
      </c>
      <c r="F56" s="1">
        <f t="shared" si="0"/>
        <v>100000</v>
      </c>
    </row>
    <row r="57" spans="1:6" x14ac:dyDescent="0.25">
      <c r="A57" s="1" t="s">
        <v>129</v>
      </c>
      <c r="B57" s="1" t="s">
        <v>130</v>
      </c>
      <c r="C57" s="1" t="s">
        <v>118</v>
      </c>
      <c r="D57" s="1">
        <v>680000</v>
      </c>
      <c r="E57" s="1">
        <f t="shared" si="6"/>
        <v>380000</v>
      </c>
      <c r="F57" s="1">
        <v>300000</v>
      </c>
    </row>
    <row r="58" spans="1:6" x14ac:dyDescent="0.25">
      <c r="A58" s="1" t="s">
        <v>131</v>
      </c>
      <c r="B58" s="1" t="s">
        <v>132</v>
      </c>
      <c r="C58" s="1" t="s">
        <v>118</v>
      </c>
      <c r="D58" s="1">
        <v>680000</v>
      </c>
      <c r="E58" s="1">
        <f t="shared" si="6"/>
        <v>0</v>
      </c>
      <c r="F58" s="1">
        <f t="shared" si="0"/>
        <v>680000</v>
      </c>
    </row>
    <row r="59" spans="1:6" x14ac:dyDescent="0.25">
      <c r="A59" s="1" t="s">
        <v>133</v>
      </c>
      <c r="B59" s="1" t="s">
        <v>134</v>
      </c>
      <c r="C59" s="1" t="s">
        <v>118</v>
      </c>
      <c r="D59" s="1">
        <v>150000</v>
      </c>
      <c r="E59" s="1">
        <f t="shared" si="6"/>
        <v>0</v>
      </c>
      <c r="F59" s="1">
        <f t="shared" si="0"/>
        <v>150000</v>
      </c>
    </row>
    <row r="60" spans="1:6" x14ac:dyDescent="0.25">
      <c r="A60" s="1" t="s">
        <v>135</v>
      </c>
      <c r="B60" s="1" t="s">
        <v>136</v>
      </c>
      <c r="C60" s="1" t="s">
        <v>118</v>
      </c>
      <c r="D60" s="1">
        <v>100000</v>
      </c>
      <c r="E60" s="1">
        <f t="shared" si="6"/>
        <v>0</v>
      </c>
      <c r="F60" s="1">
        <f t="shared" si="0"/>
        <v>100000</v>
      </c>
    </row>
    <row r="61" spans="1:6" x14ac:dyDescent="0.25">
      <c r="A61" s="1" t="s">
        <v>137</v>
      </c>
      <c r="B61" s="1" t="s">
        <v>138</v>
      </c>
      <c r="C61" s="1" t="s">
        <v>118</v>
      </c>
      <c r="D61" s="1">
        <v>100000</v>
      </c>
      <c r="E61" s="1">
        <f t="shared" si="6"/>
        <v>0</v>
      </c>
      <c r="F61" s="1">
        <f t="shared" si="0"/>
        <v>100000</v>
      </c>
    </row>
    <row r="62" spans="1:6" x14ac:dyDescent="0.25">
      <c r="A62" s="1" t="s">
        <v>139</v>
      </c>
      <c r="B62" s="1" t="s">
        <v>140</v>
      </c>
      <c r="C62" s="1" t="s">
        <v>118</v>
      </c>
      <c r="D62" s="1">
        <v>410000</v>
      </c>
      <c r="E62" s="1">
        <f t="shared" si="6"/>
        <v>0</v>
      </c>
      <c r="F62" s="1">
        <f t="shared" si="0"/>
        <v>410000</v>
      </c>
    </row>
    <row r="63" spans="1:6" x14ac:dyDescent="0.25">
      <c r="A63" s="1" t="s">
        <v>141</v>
      </c>
      <c r="B63" s="1" t="s">
        <v>142</v>
      </c>
      <c r="C63" s="1" t="s">
        <v>143</v>
      </c>
      <c r="D63" s="1">
        <v>410000</v>
      </c>
      <c r="E63" s="1">
        <f>D63-F63</f>
        <v>0</v>
      </c>
      <c r="F63" s="1">
        <f t="shared" si="0"/>
        <v>410000</v>
      </c>
    </row>
    <row r="64" spans="1:6" x14ac:dyDescent="0.25">
      <c r="A64" s="1" t="s">
        <v>144</v>
      </c>
      <c r="B64" s="1" t="s">
        <v>145</v>
      </c>
      <c r="C64" s="1" t="s">
        <v>143</v>
      </c>
      <c r="D64" s="1">
        <v>200000</v>
      </c>
      <c r="E64" s="1">
        <f t="shared" ref="E64:E70" si="7">D64-F64</f>
        <v>0</v>
      </c>
      <c r="F64" s="1">
        <f t="shared" si="0"/>
        <v>200000</v>
      </c>
    </row>
    <row r="65" spans="1:6" x14ac:dyDescent="0.25">
      <c r="A65" s="1" t="s">
        <v>146</v>
      </c>
      <c r="B65" s="1" t="s">
        <v>147</v>
      </c>
      <c r="C65" s="1" t="s">
        <v>143</v>
      </c>
      <c r="D65" s="1">
        <v>350000</v>
      </c>
      <c r="E65" s="1">
        <f t="shared" si="7"/>
        <v>200000</v>
      </c>
      <c r="F65" s="1">
        <v>150000</v>
      </c>
    </row>
    <row r="66" spans="1:6" x14ac:dyDescent="0.25">
      <c r="A66" s="1" t="s">
        <v>148</v>
      </c>
      <c r="B66" s="1" t="s">
        <v>149</v>
      </c>
      <c r="C66" s="1" t="s">
        <v>143</v>
      </c>
      <c r="D66" s="1">
        <v>250000</v>
      </c>
      <c r="E66" s="1">
        <f t="shared" si="7"/>
        <v>0</v>
      </c>
      <c r="F66" s="1">
        <f t="shared" si="0"/>
        <v>250000</v>
      </c>
    </row>
    <row r="67" spans="1:6" x14ac:dyDescent="0.25">
      <c r="A67" s="1" t="s">
        <v>150</v>
      </c>
      <c r="B67" s="1" t="s">
        <v>151</v>
      </c>
      <c r="C67" s="1" t="s">
        <v>143</v>
      </c>
      <c r="D67" s="1">
        <v>410000</v>
      </c>
      <c r="E67" s="1">
        <f t="shared" si="7"/>
        <v>0</v>
      </c>
      <c r="F67" s="1">
        <f t="shared" ref="F67:F88" si="8">D67</f>
        <v>410000</v>
      </c>
    </row>
    <row r="68" spans="1:6" x14ac:dyDescent="0.25">
      <c r="A68" s="1" t="s">
        <v>152</v>
      </c>
      <c r="B68" s="1" t="s">
        <v>153</v>
      </c>
      <c r="C68" s="1" t="s">
        <v>143</v>
      </c>
      <c r="D68" s="1">
        <v>410000</v>
      </c>
      <c r="E68" s="1">
        <f t="shared" si="7"/>
        <v>150000</v>
      </c>
      <c r="F68" s="1">
        <v>260000</v>
      </c>
    </row>
    <row r="69" spans="1:6" x14ac:dyDescent="0.25">
      <c r="A69" s="1" t="s">
        <v>154</v>
      </c>
      <c r="B69" s="1" t="s">
        <v>155</v>
      </c>
      <c r="C69" s="1" t="s">
        <v>143</v>
      </c>
      <c r="D69" s="1">
        <v>520000</v>
      </c>
      <c r="E69" s="1">
        <f t="shared" si="7"/>
        <v>420000</v>
      </c>
      <c r="F69" s="1">
        <v>100000</v>
      </c>
    </row>
    <row r="70" spans="1:6" x14ac:dyDescent="0.25">
      <c r="A70" s="1" t="s">
        <v>156</v>
      </c>
      <c r="B70" s="1" t="s">
        <v>157</v>
      </c>
      <c r="C70" s="1" t="s">
        <v>143</v>
      </c>
      <c r="D70" s="1">
        <v>620000</v>
      </c>
      <c r="E70" s="1">
        <f t="shared" si="7"/>
        <v>0</v>
      </c>
      <c r="F70" s="1">
        <f t="shared" si="8"/>
        <v>620000</v>
      </c>
    </row>
    <row r="71" spans="1:6" x14ac:dyDescent="0.25">
      <c r="A71" s="1" t="s">
        <v>158</v>
      </c>
      <c r="B71" s="1" t="s">
        <v>159</v>
      </c>
      <c r="C71" s="1" t="s">
        <v>160</v>
      </c>
      <c r="D71" s="1">
        <v>300000</v>
      </c>
      <c r="E71" s="1">
        <f>D71-F71</f>
        <v>0</v>
      </c>
      <c r="F71" s="1">
        <f t="shared" si="8"/>
        <v>300000</v>
      </c>
    </row>
    <row r="72" spans="1:6" x14ac:dyDescent="0.25">
      <c r="A72" s="1" t="s">
        <v>161</v>
      </c>
      <c r="B72" s="1" t="s">
        <v>162</v>
      </c>
      <c r="C72" s="1" t="s">
        <v>160</v>
      </c>
      <c r="D72" s="1">
        <v>580000</v>
      </c>
      <c r="E72" s="1">
        <f t="shared" ref="E72:E76" si="9">D72-F72</f>
        <v>250000</v>
      </c>
      <c r="F72" s="1">
        <v>330000</v>
      </c>
    </row>
    <row r="73" spans="1:6" x14ac:dyDescent="0.25">
      <c r="A73" s="1" t="s">
        <v>163</v>
      </c>
      <c r="B73" s="1" t="s">
        <v>164</v>
      </c>
      <c r="C73" s="1" t="s">
        <v>160</v>
      </c>
      <c r="D73" s="1">
        <v>410000</v>
      </c>
      <c r="E73" s="1">
        <f t="shared" si="9"/>
        <v>0</v>
      </c>
      <c r="F73" s="1">
        <f t="shared" si="8"/>
        <v>410000</v>
      </c>
    </row>
    <row r="74" spans="1:6" x14ac:dyDescent="0.25">
      <c r="A74" s="1" t="s">
        <v>165</v>
      </c>
      <c r="B74" s="1" t="s">
        <v>166</v>
      </c>
      <c r="C74" s="1" t="s">
        <v>160</v>
      </c>
      <c r="D74" s="1">
        <v>100000</v>
      </c>
      <c r="E74" s="1">
        <f t="shared" si="9"/>
        <v>0</v>
      </c>
      <c r="F74" s="1">
        <f t="shared" si="8"/>
        <v>100000</v>
      </c>
    </row>
    <row r="75" spans="1:6" x14ac:dyDescent="0.25">
      <c r="A75" s="1" t="s">
        <v>167</v>
      </c>
      <c r="B75" s="1" t="s">
        <v>168</v>
      </c>
      <c r="C75" s="1" t="s">
        <v>160</v>
      </c>
      <c r="D75" s="1">
        <v>100000</v>
      </c>
      <c r="E75" s="1">
        <f t="shared" si="9"/>
        <v>0</v>
      </c>
      <c r="F75" s="1">
        <f t="shared" si="8"/>
        <v>100000</v>
      </c>
    </row>
    <row r="76" spans="1:6" x14ac:dyDescent="0.25">
      <c r="A76" s="1" t="s">
        <v>169</v>
      </c>
      <c r="B76" s="1" t="s">
        <v>170</v>
      </c>
      <c r="C76" s="1" t="s">
        <v>160</v>
      </c>
      <c r="D76" s="1">
        <v>100000</v>
      </c>
      <c r="E76" s="1">
        <f t="shared" si="9"/>
        <v>0</v>
      </c>
      <c r="F76" s="1">
        <f t="shared" si="8"/>
        <v>100000</v>
      </c>
    </row>
    <row r="77" spans="1:6" x14ac:dyDescent="0.25">
      <c r="A77" s="1" t="s">
        <v>171</v>
      </c>
      <c r="B77" s="1" t="s">
        <v>172</v>
      </c>
      <c r="C77" s="1" t="s">
        <v>10</v>
      </c>
      <c r="D77" s="1">
        <v>100000</v>
      </c>
      <c r="E77" s="1">
        <f t="shared" ref="E77:E88" si="10">D77-F77</f>
        <v>0</v>
      </c>
      <c r="F77" s="1">
        <f t="shared" si="8"/>
        <v>100000</v>
      </c>
    </row>
    <row r="78" spans="1:6" x14ac:dyDescent="0.25">
      <c r="A78" s="1" t="s">
        <v>173</v>
      </c>
      <c r="B78" s="1" t="s">
        <v>174</v>
      </c>
      <c r="C78" s="1" t="s">
        <v>10</v>
      </c>
      <c r="D78" s="1">
        <v>520000</v>
      </c>
      <c r="E78" s="1">
        <f t="shared" si="10"/>
        <v>0</v>
      </c>
      <c r="F78" s="1">
        <f t="shared" si="8"/>
        <v>520000</v>
      </c>
    </row>
    <row r="79" spans="1:6" x14ac:dyDescent="0.25">
      <c r="A79" s="1" t="s">
        <v>175</v>
      </c>
      <c r="B79" s="1" t="s">
        <v>176</v>
      </c>
      <c r="C79" s="1" t="s">
        <v>10</v>
      </c>
      <c r="D79" s="1">
        <v>350000</v>
      </c>
      <c r="E79" s="1">
        <f t="shared" si="10"/>
        <v>200000</v>
      </c>
      <c r="F79" s="1">
        <v>150000</v>
      </c>
    </row>
    <row r="80" spans="1:6" x14ac:dyDescent="0.25">
      <c r="A80" s="1" t="s">
        <v>177</v>
      </c>
      <c r="B80" s="1" t="s">
        <v>178</v>
      </c>
      <c r="C80" s="1" t="s">
        <v>10</v>
      </c>
      <c r="D80" s="1">
        <v>320000</v>
      </c>
      <c r="E80" s="1">
        <f t="shared" si="10"/>
        <v>30000</v>
      </c>
      <c r="F80" s="1">
        <v>290000</v>
      </c>
    </row>
    <row r="81" spans="1:6" x14ac:dyDescent="0.25">
      <c r="A81" s="1" t="s">
        <v>179</v>
      </c>
      <c r="B81" s="1" t="s">
        <v>180</v>
      </c>
      <c r="C81" s="1" t="s">
        <v>10</v>
      </c>
      <c r="D81" s="1">
        <v>610000</v>
      </c>
      <c r="E81" s="1">
        <f t="shared" si="10"/>
        <v>0</v>
      </c>
      <c r="F81" s="1">
        <f t="shared" si="8"/>
        <v>610000</v>
      </c>
    </row>
    <row r="82" spans="1:6" x14ac:dyDescent="0.25">
      <c r="A82" s="1" t="s">
        <v>181</v>
      </c>
      <c r="B82" s="1" t="s">
        <v>182</v>
      </c>
      <c r="C82" s="1" t="s">
        <v>10</v>
      </c>
      <c r="D82" s="1">
        <v>100000</v>
      </c>
      <c r="E82" s="1">
        <f t="shared" si="10"/>
        <v>0</v>
      </c>
      <c r="F82" s="1">
        <f t="shared" si="8"/>
        <v>100000</v>
      </c>
    </row>
    <row r="83" spans="1:6" x14ac:dyDescent="0.25">
      <c r="A83" s="1" t="s">
        <v>183</v>
      </c>
      <c r="B83" s="1" t="s">
        <v>184</v>
      </c>
      <c r="C83" s="1" t="s">
        <v>10</v>
      </c>
      <c r="D83" s="1">
        <v>410000</v>
      </c>
      <c r="E83" s="1">
        <f t="shared" si="10"/>
        <v>200000</v>
      </c>
      <c r="F83" s="1">
        <v>210000</v>
      </c>
    </row>
    <row r="84" spans="1:6" x14ac:dyDescent="0.25">
      <c r="A84" s="1" t="s">
        <v>185</v>
      </c>
      <c r="B84" s="1" t="s">
        <v>186</v>
      </c>
      <c r="C84" s="1" t="s">
        <v>10</v>
      </c>
      <c r="D84" s="1">
        <v>575000</v>
      </c>
      <c r="E84" s="1">
        <f t="shared" si="10"/>
        <v>210000</v>
      </c>
      <c r="F84" s="1">
        <v>365000</v>
      </c>
    </row>
    <row r="85" spans="1:6" x14ac:dyDescent="0.25">
      <c r="A85" s="1" t="s">
        <v>187</v>
      </c>
      <c r="B85" s="1" t="s">
        <v>188</v>
      </c>
      <c r="C85" s="1" t="s">
        <v>10</v>
      </c>
      <c r="D85" s="1">
        <v>580000</v>
      </c>
      <c r="E85" s="1">
        <f t="shared" si="10"/>
        <v>250000</v>
      </c>
      <c r="F85" s="1">
        <v>330000</v>
      </c>
    </row>
    <row r="86" spans="1:6" x14ac:dyDescent="0.25">
      <c r="A86" s="1" t="s">
        <v>189</v>
      </c>
      <c r="B86" s="1" t="s">
        <v>190</v>
      </c>
      <c r="C86" s="1" t="s">
        <v>10</v>
      </c>
      <c r="D86" s="1">
        <v>485000</v>
      </c>
      <c r="E86" s="1">
        <f t="shared" si="10"/>
        <v>250000</v>
      </c>
      <c r="F86" s="1">
        <v>235000</v>
      </c>
    </row>
    <row r="87" spans="1:6" x14ac:dyDescent="0.25">
      <c r="A87" s="1" t="s">
        <v>191</v>
      </c>
      <c r="B87" s="1" t="s">
        <v>192</v>
      </c>
      <c r="C87" s="1" t="s">
        <v>10</v>
      </c>
      <c r="D87" s="1">
        <v>150000</v>
      </c>
      <c r="E87" s="1">
        <f t="shared" si="10"/>
        <v>70000</v>
      </c>
      <c r="F87" s="1">
        <v>80000</v>
      </c>
    </row>
    <row r="88" spans="1:6" x14ac:dyDescent="0.25">
      <c r="A88" s="1" t="s">
        <v>193</v>
      </c>
      <c r="B88" s="1" t="s">
        <v>194</v>
      </c>
      <c r="C88" s="1" t="s">
        <v>10</v>
      </c>
      <c r="D88" s="1">
        <v>50000</v>
      </c>
      <c r="E88" s="1">
        <f t="shared" si="10"/>
        <v>0</v>
      </c>
      <c r="F88" s="1">
        <f t="shared" si="8"/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t="s">
        <v>196</v>
      </c>
      <c r="B1" t="s">
        <v>197</v>
      </c>
    </row>
    <row r="2" spans="1:2" x14ac:dyDescent="0.25">
      <c r="A2" t="s">
        <v>198</v>
      </c>
      <c r="B2" t="s">
        <v>199</v>
      </c>
    </row>
    <row r="3" spans="1:2" x14ac:dyDescent="0.25">
      <c r="A3" t="s">
        <v>200</v>
      </c>
      <c r="B3">
        <v>88</v>
      </c>
    </row>
    <row r="4" spans="1:2" x14ac:dyDescent="0.25">
      <c r="A4" t="s">
        <v>5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206</v>
      </c>
      <c r="B7" t="s">
        <v>207</v>
      </c>
    </row>
    <row r="8" spans="1:2" x14ac:dyDescent="0.25">
      <c r="A8" t="s">
        <v>208</v>
      </c>
      <c r="B8" t="s">
        <v>209</v>
      </c>
    </row>
    <row r="9" spans="1:2" x14ac:dyDescent="0.25">
      <c r="A9" t="s">
        <v>210</v>
      </c>
      <c r="B9" t="s">
        <v>209</v>
      </c>
    </row>
    <row r="10" spans="1:2" x14ac:dyDescent="0.25">
      <c r="A10" t="s">
        <v>211</v>
      </c>
      <c r="B10" t="s">
        <v>212</v>
      </c>
    </row>
    <row r="11" spans="1:2" x14ac:dyDescent="0.25">
      <c r="A11" t="s">
        <v>213</v>
      </c>
      <c r="B11" t="s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195</v>
      </c>
      <c r="B2">
        <v>370000</v>
      </c>
      <c r="C2">
        <v>200000</v>
      </c>
      <c r="D2">
        <v>170000</v>
      </c>
    </row>
    <row r="3" spans="1:4" x14ac:dyDescent="0.25">
      <c r="A3" t="s">
        <v>12</v>
      </c>
      <c r="B3">
        <v>29310000</v>
      </c>
      <c r="C3">
        <v>0</v>
      </c>
      <c r="D3">
        <v>29310000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5</v>
      </c>
      <c r="C1" t="s">
        <v>6</v>
      </c>
      <c r="D1" t="s">
        <v>7</v>
      </c>
    </row>
    <row r="2" spans="1:4" x14ac:dyDescent="0.25">
      <c r="A2" t="s">
        <v>11</v>
      </c>
      <c r="B2">
        <v>410000</v>
      </c>
      <c r="C2">
        <v>0</v>
      </c>
      <c r="D2">
        <v>410000</v>
      </c>
    </row>
    <row r="3" spans="1:4" x14ac:dyDescent="0.25">
      <c r="A3" t="s">
        <v>16</v>
      </c>
      <c r="B3">
        <v>29270000</v>
      </c>
      <c r="C3">
        <v>200000</v>
      </c>
      <c r="D3">
        <v>29070000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Invoiced Students</vt:lpstr>
      <vt:lpstr>Summary</vt:lpstr>
      <vt:lpstr>Status Breakdown</vt:lpstr>
      <vt:lpstr>Category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Najib</cp:lastModifiedBy>
  <dcterms:created xsi:type="dcterms:W3CDTF">2026-06-13T11:27:40Z</dcterms:created>
  <dcterms:modified xsi:type="dcterms:W3CDTF">2026-06-13T12:18:18Z</dcterms:modified>
</cp:coreProperties>
</file>